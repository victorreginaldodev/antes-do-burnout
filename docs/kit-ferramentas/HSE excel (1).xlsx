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anda\2025\"/>
    </mc:Choice>
  </mc:AlternateContent>
  <xr:revisionPtr revIDLastSave="0" documentId="8_{D0506C37-ECFC-4352-A587-42AA9C8FDE58}" xr6:coauthVersionLast="47" xr6:coauthVersionMax="47" xr10:uidLastSave="{00000000-0000-0000-0000-000000000000}"/>
  <bookViews>
    <workbookView xWindow="-108" yWindow="-108" windowWidth="23256" windowHeight="12456" xr2:uid="{8019FE90-8EFC-4206-90D5-B8ED8AEC6C38}"/>
  </bookViews>
  <sheets>
    <sheet name="HSE IT" sheetId="1" r:id="rId1"/>
  </sheets>
  <externalReferences>
    <externalReference r:id="rId2"/>
    <externalReference r:id="rId3"/>
  </externalReferences>
  <definedNames>
    <definedName name="_10thCol" localSheetId="0">#REF!</definedName>
    <definedName name="_10thCol">#REF!</definedName>
    <definedName name="_2ndCol">#REF!</definedName>
    <definedName name="_3rdCol">#REF!</definedName>
    <definedName name="_4thCol">#REF!</definedName>
    <definedName name="_5thCol">#REF!</definedName>
    <definedName name="_6thCol">#REF!</definedName>
    <definedName name="_7thCol">#REF!</definedName>
    <definedName name="_8thCol">#REF!</definedName>
    <definedName name="_9thCol">#REF!</definedName>
    <definedName name="_RWL2">'[2]NIOSH Lifting Equation'!$L$22</definedName>
    <definedName name="AM">'[2]NIOSH Lifting Equation'!$H$29</definedName>
    <definedName name="AM.1" localSheetId="0">#REF!</definedName>
    <definedName name="AM.1">#REF!</definedName>
    <definedName name="AM.10">#REF!</definedName>
    <definedName name="AM.2">#REF!</definedName>
    <definedName name="AM.3">#REF!</definedName>
    <definedName name="AM.4">#REF!</definedName>
    <definedName name="AM.5">#REF!</definedName>
    <definedName name="AM.6">#REF!</definedName>
    <definedName name="AM.7">#REF!</definedName>
    <definedName name="AM.8">#REF!</definedName>
    <definedName name="AM.9">#REF!</definedName>
    <definedName name="Angle">'[2]NIOSH Lifting Equation'!$D$29</definedName>
    <definedName name="Angle1" localSheetId="0">#REF!</definedName>
    <definedName name="Angle1">#REF!</definedName>
    <definedName name="Angle10">#REF!</definedName>
    <definedName name="Angle2">#REF!</definedName>
    <definedName name="Angle3">#REF!</definedName>
    <definedName name="Angle4">#REF!</definedName>
    <definedName name="Angle5">#REF!</definedName>
    <definedName name="Angle6">#REF!</definedName>
    <definedName name="Angle7">#REF!</definedName>
    <definedName name="Angle8">#REF!</definedName>
    <definedName name="Angle9">#REF!</definedName>
    <definedName name="bigtable" localSheetId="0">#REF!</definedName>
    <definedName name="bigtable">#REF!</definedName>
    <definedName name="CLI">#REF!</definedName>
    <definedName name="CM">'[2]NIOSH Lifting Equation'!$H$32</definedName>
    <definedName name="CM.1" localSheetId="0">#REF!</definedName>
    <definedName name="CM.1">#REF!</definedName>
    <definedName name="CM.10">#REF!</definedName>
    <definedName name="CM.2">#REF!</definedName>
    <definedName name="CM.3">#REF!</definedName>
    <definedName name="CM.4">#REF!</definedName>
    <definedName name="CM.5">#REF!</definedName>
    <definedName name="CM.6">#REF!</definedName>
    <definedName name="CM.7">#REF!</definedName>
    <definedName name="CM.8">#REF!</definedName>
    <definedName name="CM.9">#REF!</definedName>
    <definedName name="Coupling">'[2]NIOSH Lifting Equation'!$D$32</definedName>
    <definedName name="Coupling1" localSheetId="0">#REF!</definedName>
    <definedName name="Coupling1">#REF!</definedName>
    <definedName name="Coupling10">#REF!</definedName>
    <definedName name="Coupling2">#REF!</definedName>
    <definedName name="Coupling3">#REF!</definedName>
    <definedName name="Coupling4">#REF!</definedName>
    <definedName name="Coupling5">#REF!</definedName>
    <definedName name="Coupling6">#REF!</definedName>
    <definedName name="Coupling7">#REF!</definedName>
    <definedName name="Coupling8">#REF!</definedName>
    <definedName name="Coupling9">#REF!</definedName>
    <definedName name="DM">'[2]NIOSH Lifting Equation'!$H$26</definedName>
    <definedName name="DM.1" localSheetId="0">#REF!</definedName>
    <definedName name="DM.1">#REF!</definedName>
    <definedName name="DM.10">#REF!</definedName>
    <definedName name="DM.2">#REF!</definedName>
    <definedName name="DM.3">#REF!</definedName>
    <definedName name="DM.4">#REF!</definedName>
    <definedName name="DM.5">#REF!</definedName>
    <definedName name="DM.6">#REF!</definedName>
    <definedName name="DM.7">#REF!</definedName>
    <definedName name="DM.8">#REF!</definedName>
    <definedName name="DM.9">#REF!</definedName>
    <definedName name="Duration">'[2]NIOSH Lifting Equation'!$D$35</definedName>
    <definedName name="Duration1" localSheetId="0">#REF!</definedName>
    <definedName name="Duration1">#REF!</definedName>
    <definedName name="Duration10">#REF!</definedName>
    <definedName name="Duration2">#REF!</definedName>
    <definedName name="Duration3">#REF!</definedName>
    <definedName name="Duration4">#REF!</definedName>
    <definedName name="Duration5">#REF!</definedName>
    <definedName name="Duration6">#REF!</definedName>
    <definedName name="Duration7">#REF!</definedName>
    <definedName name="Duration8">#REF!</definedName>
    <definedName name="Duration9">#REF!</definedName>
    <definedName name="FIRWL1">#REF!</definedName>
    <definedName name="FIRWL10">#REF!</definedName>
    <definedName name="FIRWL2">#REF!</definedName>
    <definedName name="FIRWL3">#REF!</definedName>
    <definedName name="FIRWL4">#REF!</definedName>
    <definedName name="FIRWL5">#REF!</definedName>
    <definedName name="FIRWL6">#REF!</definedName>
    <definedName name="FIRWL7">#REF!</definedName>
    <definedName name="FIRWL8">#REF!</definedName>
    <definedName name="FIRWL9">#REF!</definedName>
    <definedName name="FM">'[2]NIOSH Lifting Equation'!$H$38</definedName>
    <definedName name="FM.1" localSheetId="0">#REF!</definedName>
    <definedName name="FM.1">#REF!</definedName>
    <definedName name="FM.10">#REF!</definedName>
    <definedName name="FM.2">#REF!</definedName>
    <definedName name="FM.3">#REF!</definedName>
    <definedName name="FM.4">#REF!</definedName>
    <definedName name="FM.5">#REF!</definedName>
    <definedName name="FM.6">#REF!</definedName>
    <definedName name="FM.7">#REF!</definedName>
    <definedName name="FM.8">#REF!</definedName>
    <definedName name="FM.9">#REF!</definedName>
    <definedName name="FREQUENCY">#REF!</definedName>
    <definedName name="Frequency1">#REF!</definedName>
    <definedName name="Frequency10">#REF!</definedName>
    <definedName name="Frequency2">#REF!</definedName>
    <definedName name="Frequency3">#REF!</definedName>
    <definedName name="Frequency4">#REF!</definedName>
    <definedName name="Frequency5">#REF!</definedName>
    <definedName name="Frequency6">#REF!</definedName>
    <definedName name="Frequency7">#REF!</definedName>
    <definedName name="Frequency8">#REF!</definedName>
    <definedName name="Frequency9">#REF!</definedName>
    <definedName name="HM">'[2]NIOSH Lifting Equation'!$H$20</definedName>
    <definedName name="HM.1" localSheetId="0">#REF!</definedName>
    <definedName name="HM.1">#REF!</definedName>
    <definedName name="HM.10">#REF!</definedName>
    <definedName name="HM.2">#REF!</definedName>
    <definedName name="HM.3">#REF!</definedName>
    <definedName name="HM.4">#REF!</definedName>
    <definedName name="HM.5">#REF!</definedName>
    <definedName name="HM.6">#REF!</definedName>
    <definedName name="HM.7">#REF!</definedName>
    <definedName name="HM.8">#REF!</definedName>
    <definedName name="HM.9">#REF!</definedName>
    <definedName name="HorizLoc">'[2]NIOSH Lifting Equation'!$D$20</definedName>
    <definedName name="HorizLoc1" localSheetId="0">#REF!</definedName>
    <definedName name="HorizLoc1">#REF!</definedName>
    <definedName name="HorizLoc10">#REF!</definedName>
    <definedName name="HorizLoc2">#REF!</definedName>
    <definedName name="HorizLoc3">#REF!</definedName>
    <definedName name="HorizLoc4">#REF!</definedName>
    <definedName name="HorizLoc5">#REF!</definedName>
    <definedName name="HorizLoc6">#REF!</definedName>
    <definedName name="HorizLoc7">#REF!</definedName>
    <definedName name="HorizLoc8">#REF!</definedName>
    <definedName name="HorizLoc9">#REF!</definedName>
    <definedName name="Load">'[2]NIOSH Lifting Equation'!$D$41</definedName>
    <definedName name="Load1" localSheetId="0">#REF!</definedName>
    <definedName name="Load1">#REF!</definedName>
    <definedName name="Load10">#REF!</definedName>
    <definedName name="Load2">#REF!</definedName>
    <definedName name="Load3">#REF!</definedName>
    <definedName name="Load4">#REF!</definedName>
    <definedName name="Load5">#REF!</definedName>
    <definedName name="Load6">#REF!</definedName>
    <definedName name="Load7">#REF!</definedName>
    <definedName name="Load8">#REF!</definedName>
    <definedName name="Load9">#REF!</definedName>
    <definedName name="Max10Array">#REF!</definedName>
    <definedName name="Max2array">#REF!</definedName>
    <definedName name="Max3array">#REF!</definedName>
    <definedName name="Max4array">#REF!</definedName>
    <definedName name="Max5array">#REF!</definedName>
    <definedName name="Max6array">#REF!</definedName>
    <definedName name="Max7Array">#REF!</definedName>
    <definedName name="Max8Array">#REF!</definedName>
    <definedName name="Max9Array">#REF!</definedName>
    <definedName name="MaxCol">#REF!</definedName>
    <definedName name="MaxLoad">'[2]NIOSH Lifting Equation'!$D$43</definedName>
    <definedName name="maxload1" localSheetId="0">#REF!</definedName>
    <definedName name="maxload1">#REF!</definedName>
    <definedName name="maxload10">#REF!</definedName>
    <definedName name="maxload2">#REF!</definedName>
    <definedName name="maxload3">#REF!</definedName>
    <definedName name="maxload4">#REF!</definedName>
    <definedName name="maxload5">#REF!</definedName>
    <definedName name="maxload6">#REF!</definedName>
    <definedName name="maxload7">#REF!</definedName>
    <definedName name="maxload8">#REF!</definedName>
    <definedName name="maxload9">#REF!</definedName>
    <definedName name="maxstli">#REF!</definedName>
    <definedName name="mfirwl">'[2]NIOSH Lifting Equation'!$L$33</definedName>
    <definedName name="MRWL">'[2]NIOSH Lifting Equation - METRIC'!$L$22</definedName>
    <definedName name="PERCENT_LIFT" localSheetId="0">#REF!</definedName>
    <definedName name="PERCENT_LIFT">#REF!</definedName>
    <definedName name="PERCENTAGE">#REF!</definedName>
    <definedName name="STLI1">#REF!</definedName>
    <definedName name="STLI10">#REF!</definedName>
    <definedName name="STLI2">#REF!</definedName>
    <definedName name="STLI3">#REF!</definedName>
    <definedName name="STLI4">#REF!</definedName>
    <definedName name="STLI5">#REF!</definedName>
    <definedName name="STLI6">#REF!</definedName>
    <definedName name="STLI7">#REF!</definedName>
    <definedName name="STLI8">#REF!</definedName>
    <definedName name="STLI9">#REF!</definedName>
    <definedName name="STRWL1">#REF!</definedName>
    <definedName name="STRWL10">#REF!</definedName>
    <definedName name="STRWL2">#REF!</definedName>
    <definedName name="STRWL3">#REF!</definedName>
    <definedName name="STRWL4">#REF!</definedName>
    <definedName name="STRWL5">#REF!</definedName>
    <definedName name="STRWL6">#REF!</definedName>
    <definedName name="STRWL7">#REF!</definedName>
    <definedName name="STRWL8">#REF!</definedName>
    <definedName name="STRWL9">#REF!</definedName>
    <definedName name="Sum.Freq1">#REF!</definedName>
    <definedName name="Sum.Freq10">#REF!</definedName>
    <definedName name="Sum.Freq2">#REF!</definedName>
    <definedName name="Sum.Freq3">#REF!</definedName>
    <definedName name="Sum.Freq4">#REF!</definedName>
    <definedName name="Sum.Freq5">#REF!</definedName>
    <definedName name="Sum.Freq6">#REF!</definedName>
    <definedName name="Sum.Freq7">#REF!</definedName>
    <definedName name="Sum.Freq8">#REF!</definedName>
    <definedName name="Sum.Freq9">#REF!</definedName>
    <definedName name="TravDist">'[2]NIOSH Lifting Equation'!$D$26</definedName>
    <definedName name="TravDist1" localSheetId="0">#REF!</definedName>
    <definedName name="TravDist1">#REF!</definedName>
    <definedName name="TravDist10">#REF!</definedName>
    <definedName name="TravDist2">#REF!</definedName>
    <definedName name="TravDist3">#REF!</definedName>
    <definedName name="TravDist4">#REF!</definedName>
    <definedName name="TravDist5">#REF!</definedName>
    <definedName name="TravDist6">#REF!</definedName>
    <definedName name="TravDist7">#REF!</definedName>
    <definedName name="TravDist8">#REF!</definedName>
    <definedName name="TravDist9">#REF!</definedName>
    <definedName name="VertLoc">'[2]NIOSH Lifting Equation'!$D$23</definedName>
    <definedName name="VertLoc1" localSheetId="0">#REF!</definedName>
    <definedName name="VertLoc1">#REF!</definedName>
    <definedName name="VertLoc10">#REF!</definedName>
    <definedName name="VertLoc2">#REF!</definedName>
    <definedName name="VertLoc3">#REF!</definedName>
    <definedName name="VertLoc4">#REF!</definedName>
    <definedName name="VertLoc5">#REF!</definedName>
    <definedName name="VertLoc6">#REF!</definedName>
    <definedName name="VertLoc7">#REF!</definedName>
    <definedName name="VertLoc8">#REF!</definedName>
    <definedName name="VertLoc9">#REF!</definedName>
    <definedName name="VM">'[2]NIOSH Lifting Equation'!$H$23</definedName>
    <definedName name="VM.1" localSheetId="0">#REF!</definedName>
    <definedName name="VM.1">#REF!</definedName>
    <definedName name="VM.10">#REF!</definedName>
    <definedName name="VM.2">#REF!</definedName>
    <definedName name="VM.3">#REF!</definedName>
    <definedName name="VM.4">#REF!</definedName>
    <definedName name="VM.5">#REF!</definedName>
    <definedName name="VM.6">#REF!</definedName>
    <definedName name="VM.7">#REF!</definedName>
    <definedName name="VM.8">#REF!</definedName>
    <definedName name="VM.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C58" i="1"/>
  <c r="E58" i="1" s="1"/>
  <c r="H58" i="1" s="1"/>
  <c r="D57" i="1"/>
  <c r="C57" i="1"/>
  <c r="E57" i="1" s="1"/>
  <c r="H57" i="1" s="1"/>
  <c r="D56" i="1"/>
  <c r="C56" i="1"/>
  <c r="E56" i="1" s="1"/>
  <c r="H56" i="1" s="1"/>
  <c r="D55" i="1"/>
  <c r="C55" i="1"/>
  <c r="E55" i="1" s="1"/>
  <c r="H55" i="1" s="1"/>
  <c r="D54" i="1"/>
  <c r="C54" i="1"/>
  <c r="E54" i="1" s="1"/>
  <c r="H54" i="1" s="1"/>
  <c r="D53" i="1"/>
  <c r="C53" i="1"/>
  <c r="E53" i="1" s="1"/>
  <c r="H53" i="1" s="1"/>
  <c r="D52" i="1"/>
  <c r="C52" i="1"/>
  <c r="E52" i="1" s="1"/>
  <c r="H52" i="1" s="1"/>
</calcChain>
</file>

<file path=xl/sharedStrings.xml><?xml version="1.0" encoding="utf-8"?>
<sst xmlns="http://schemas.openxmlformats.org/spreadsheetml/2006/main" count="82" uniqueCount="74">
  <si>
    <t>HSE IT - MANAGEMENT STANDARDS INDICATOR TOOL [ESTRESSE RELACIONADO AO TRABALHO]</t>
  </si>
  <si>
    <t>Referência: Health and Safety Executive (HSE). Managing the causes of workrelated stress: a step by-step approach using the Management</t>
  </si>
  <si>
    <t>Standards. London: HSE; 2007.</t>
  </si>
  <si>
    <t>Nome:</t>
  </si>
  <si>
    <t>Idade:</t>
  </si>
  <si>
    <t>Analista:</t>
  </si>
  <si>
    <t>Setor:</t>
  </si>
  <si>
    <t>Data:</t>
  </si>
  <si>
    <t>Instruções:</t>
  </si>
  <si>
    <t>O questionário abaixo é composto por afirmativas relacionadas ao trabalho. Considerando os últimos seis meses, selecione a frequência dos acontecimentos de acordo com a escala abaixo:</t>
  </si>
  <si>
    <t>Nunca</t>
  </si>
  <si>
    <t>Raramente</t>
  </si>
  <si>
    <t>As vezes</t>
  </si>
  <si>
    <t>Frequentemente</t>
  </si>
  <si>
    <t>Sempre</t>
  </si>
  <si>
    <t>Fator</t>
  </si>
  <si>
    <t>Afirmativas relacionadas ao trabalho...</t>
  </si>
  <si>
    <t>Frequência</t>
  </si>
  <si>
    <r>
      <t>DEMANDAS
A</t>
    </r>
    <r>
      <rPr>
        <sz val="7"/>
        <color theme="0"/>
        <rFont val="Aptos Narrow"/>
        <family val="2"/>
        <scheme val="minor"/>
      </rPr>
      <t>spectos relacionados à carga de trabalho, exigências, organização e ambiente de
trabalho.</t>
    </r>
  </si>
  <si>
    <t>As exigências de trabalho feitas por colegas e supervisores são difíceis de combinar.</t>
  </si>
  <si>
    <t>Tenho prazos impossíveis de cumprir.</t>
  </si>
  <si>
    <t>Devo trabalhar muito intensamente.</t>
  </si>
  <si>
    <t>Eu não faço algumas tarefas porque tenho muita coisa para fazer.</t>
  </si>
  <si>
    <t>Não tenho possibilidade de fazer pausas suficientes.</t>
  </si>
  <si>
    <t>Recebo pressão para trabalhar em outro horário.</t>
  </si>
  <si>
    <t>Tenho que fazer meu trabalho com muita rapidez.</t>
  </si>
  <si>
    <t>As pausas temporárias são impossíveis de cumprir.</t>
  </si>
  <si>
    <t>RELACIONAMENTOS
Aspectos relacionados à comportamentos interpessoais inaceitáveis, como assédio.</t>
  </si>
  <si>
    <t>Falam ou se comportam comigo de forma dura.</t>
  </si>
  <si>
    <t>Existem conflitos entre os colegas.</t>
  </si>
  <si>
    <t>Sinto que sou perseguido no trabalho.</t>
  </si>
  <si>
    <t>As relações no trabalho são tensas.</t>
  </si>
  <si>
    <r>
      <t xml:space="preserve">CONTROLE
</t>
    </r>
    <r>
      <rPr>
        <sz val="7"/>
        <color theme="0"/>
        <rFont val="Aptos Narrow"/>
        <family val="2"/>
        <scheme val="minor"/>
      </rPr>
      <t>Possibilidade de opinar  sobre mudanças nos processos e controlar o ritmo de trabalho.</t>
    </r>
  </si>
  <si>
    <t>Posso decidir quando fazer uma pausa.</t>
  </si>
  <si>
    <t>Consideram a minha opinião sobre a velocidade do meu trabalho.</t>
  </si>
  <si>
    <t>Tenho liberdade de escolha de como fazer meu trabalho.</t>
  </si>
  <si>
    <t>Tenho liberdade de escolha para decidir o que fazer no meu trabalho.</t>
  </si>
  <si>
    <t>Minhas sugestões são consideradas sobre como fazer meu trabalho.</t>
  </si>
  <si>
    <t>O meu horário de trabalho pode ser flexível.</t>
  </si>
  <si>
    <r>
      <t>APOIO DA CHEFIA
A</t>
    </r>
    <r>
      <rPr>
        <sz val="7"/>
        <color theme="0"/>
        <rFont val="Aptos Narrow"/>
        <family val="2"/>
        <scheme val="minor"/>
      </rPr>
      <t>poio por parte dos superiores e os recursos fornecidos para resolver os problemas.</t>
    </r>
  </si>
  <si>
    <t>Recebo informações e suporte que me ajudam no trabalho que eu faço.</t>
  </si>
  <si>
    <t>Posso confiar no meu chefe quando eu tiver problemas no trabalho.</t>
  </si>
  <si>
    <t>Quando algo no trabalho me perturba ou irrita posso falar com meu chefe.</t>
  </si>
  <si>
    <t>Tenho suportado trabalhos emocionalmente exigentes.</t>
  </si>
  <si>
    <t>Meu chefe me incentiva no trabalho.</t>
  </si>
  <si>
    <r>
      <t xml:space="preserve">APOIO DOS COLEGAS
</t>
    </r>
    <r>
      <rPr>
        <sz val="7"/>
        <color theme="0"/>
        <rFont val="Aptos Narrow"/>
        <family val="2"/>
        <scheme val="minor"/>
      </rPr>
      <t>Comunicação interpessoal adequada e respeito às diversidades entre os trabalhadores.</t>
    </r>
  </si>
  <si>
    <t>Quando o trabalho se torna difícil, posso contar com ajuda dos colegas.</t>
  </si>
  <si>
    <t>Meus colegas me ajudam e me dão apoio quando eu preciso.</t>
  </si>
  <si>
    <t>No trabalho os meus colegas demonstram o respeito que mereço.</t>
  </si>
  <si>
    <t>Os colegas estão disponíveis para escutar os meus problemas de trabalho.</t>
  </si>
  <si>
    <r>
      <t xml:space="preserve">CARGO
</t>
    </r>
    <r>
      <rPr>
        <sz val="7"/>
        <color theme="0"/>
        <rFont val="Aptos Narrow"/>
        <family val="2"/>
        <scheme val="minor"/>
      </rPr>
      <t>Transparência nos critérios de promoção na carreira e reconhecimento.</t>
    </r>
  </si>
  <si>
    <t>Tenho clareza sobre o que se espera do meu trabalho.</t>
  </si>
  <si>
    <t>Eu sei como fazer o meu trabalho.</t>
  </si>
  <si>
    <t>Estão claras as minhas tarefas e responsabilidades.</t>
  </si>
  <si>
    <t>Os objetivos e metas do meu setor são claros para mim.</t>
  </si>
  <si>
    <t>Eu vejo como o meu trabalho se encaixa nos objetivos da empresa.</t>
  </si>
  <si>
    <r>
      <t xml:space="preserve">COMUNICAÇÃO E MUDANÇAS
</t>
    </r>
    <r>
      <rPr>
        <sz val="7"/>
        <color theme="0"/>
        <rFont val="Aptos Narrow"/>
        <family val="2"/>
        <scheme val="minor"/>
      </rPr>
      <t>Participação dos trabalhadores em mudanças.</t>
    </r>
  </si>
  <si>
    <t>Tenho oportunidades para pedir explicações ao chefe sobre as mudanças no trabalho.</t>
  </si>
  <si>
    <t>As pessoas são sempre consultadas sobre as mudanças no trabalho.</t>
  </si>
  <si>
    <t>Quando há mudanças, faço o meu trabalho com o mesmo carinho.</t>
  </si>
  <si>
    <t>Resultado por fator [% de questões causadoras de estresse]. Obs.: Analise cada fator separadamente para identificar o mais crítico.</t>
  </si>
  <si>
    <t>FATOR</t>
  </si>
  <si>
    <t>Contagem dos estressores</t>
  </si>
  <si>
    <t>Soma</t>
  </si>
  <si>
    <t>Total itens</t>
  </si>
  <si>
    <t>%</t>
  </si>
  <si>
    <t>Demanda</t>
  </si>
  <si>
    <t>Relacionamentos</t>
  </si>
  <si>
    <t>Controle</t>
  </si>
  <si>
    <t>Apoio da chefia</t>
  </si>
  <si>
    <t>Apoio dos colegas</t>
  </si>
  <si>
    <t>Cargo</t>
  </si>
  <si>
    <t>Comunicação e mudanças</t>
  </si>
  <si>
    <t>Planilha desenvolvida por Higor Eleutério. ERGOSTORE © Copyright. Todos os direitos reservados. Proteção lei 9.610/98.
www.ergostore.com.br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</si>
</sst>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2D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/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left" vertical="center"/>
      <protection locked="0" hidden="1"/>
    </xf>
    <xf numFmtId="0" fontId="4" fillId="2" borderId="1" xfId="0" applyFont="1" applyFill="1" applyBorder="1" applyAlignment="1" applyProtection="1">
      <alignment vertical="center"/>
      <protection locked="0" hidden="1"/>
    </xf>
    <xf numFmtId="0" fontId="4" fillId="2" borderId="2" xfId="0" applyFont="1" applyFill="1" applyBorder="1" applyAlignment="1" applyProtection="1">
      <alignment horizontal="left" vertical="center"/>
      <protection locked="0" hidden="1"/>
    </xf>
    <xf numFmtId="0" fontId="4" fillId="2" borderId="3" xfId="0" applyFont="1" applyFill="1" applyBorder="1" applyAlignment="1" applyProtection="1">
      <alignment horizontal="left" vertical="center"/>
      <protection locked="0" hidden="1"/>
    </xf>
    <xf numFmtId="0" fontId="4" fillId="2" borderId="4" xfId="0" applyFont="1" applyFill="1" applyBorder="1" applyAlignment="1" applyProtection="1">
      <alignment horizontal="left" vertical="center"/>
      <protection locked="0" hidden="1"/>
    </xf>
    <xf numFmtId="0" fontId="3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3" fillId="0" borderId="0" xfId="0" applyFont="1" applyAlignment="1" applyProtection="1">
      <alignment horizontal="justify" wrapText="1"/>
      <protection hidden="1"/>
    </xf>
    <xf numFmtId="0" fontId="3" fillId="0" borderId="0" xfId="0" applyFont="1" applyAlignment="1" applyProtection="1">
      <alignment horizontal="justify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  <xf numFmtId="0" fontId="7" fillId="3" borderId="4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6" fillId="3" borderId="5" xfId="0" applyFont="1" applyFill="1" applyBorder="1" applyAlignment="1" applyProtection="1">
      <alignment horizontal="center" vertical="center" wrapText="1"/>
      <protection hidden="1"/>
    </xf>
    <xf numFmtId="0" fontId="6" fillId="3" borderId="6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left" vertical="center" wrapText="1"/>
      <protection hidden="1"/>
    </xf>
    <xf numFmtId="0" fontId="3" fillId="2" borderId="3" xfId="0" applyFont="1" applyFill="1" applyBorder="1" applyAlignment="1" applyProtection="1">
      <alignment horizontal="left" vertical="center" wrapText="1"/>
      <protection hidden="1"/>
    </xf>
    <xf numFmtId="0" fontId="3" fillId="2" borderId="4" xfId="0" applyFont="1" applyFill="1" applyBorder="1" applyAlignment="1" applyProtection="1">
      <alignment horizontal="left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locked="0" hidden="1"/>
    </xf>
    <xf numFmtId="0" fontId="6" fillId="3" borderId="7" xfId="0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hidden="1"/>
    </xf>
    <xf numFmtId="0" fontId="6" fillId="3" borderId="10" xfId="0" applyFont="1" applyFill="1" applyBorder="1" applyAlignment="1" applyProtection="1">
      <alignment horizontal="center" vertical="center"/>
      <protection hidden="1"/>
    </xf>
    <xf numFmtId="0" fontId="6" fillId="3" borderId="6" xfId="0" applyFont="1" applyFill="1" applyBorder="1" applyAlignment="1" applyProtection="1">
      <alignment horizontal="center" vertical="center" wrapText="1"/>
      <protection hidden="1"/>
    </xf>
    <xf numFmtId="0" fontId="6" fillId="3" borderId="7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horizontal="center" vertical="center" wrapText="1"/>
      <protection hidden="1"/>
    </xf>
    <xf numFmtId="0" fontId="6" fillId="3" borderId="9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center" wrapText="1"/>
      <protection hidden="1"/>
    </xf>
    <xf numFmtId="0" fontId="3" fillId="0" borderId="3" xfId="0" applyFont="1" applyBorder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vertical="center" wrapText="1"/>
      <protection hidden="1"/>
    </xf>
    <xf numFmtId="9" fontId="5" fillId="0" borderId="3" xfId="1" applyFont="1" applyFill="1" applyBorder="1" applyAlignment="1" applyProtection="1">
      <alignment vertical="center" wrapText="1"/>
      <protection hidden="1"/>
    </xf>
    <xf numFmtId="0" fontId="5" fillId="0" borderId="4" xfId="0" applyFont="1" applyBorder="1" applyAlignment="1" applyProtection="1">
      <alignment vertical="center" wrapText="1"/>
      <protection hidden="1"/>
    </xf>
    <xf numFmtId="0" fontId="7" fillId="3" borderId="2" xfId="0" applyFont="1" applyFill="1" applyBorder="1" applyAlignment="1" applyProtection="1">
      <alignment horizontal="center" vertical="center" wrapText="1"/>
      <protection hidden="1"/>
    </xf>
    <xf numFmtId="0" fontId="7" fillId="3" borderId="3" xfId="0" applyFont="1" applyFill="1" applyBorder="1" applyAlignment="1" applyProtection="1">
      <alignment horizontal="center" vertical="center" wrapText="1"/>
      <protection hidden="1"/>
    </xf>
    <xf numFmtId="0" fontId="7" fillId="3" borderId="4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10" fillId="0" borderId="3" xfId="0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9" fontId="10" fillId="0" borderId="2" xfId="1" applyFont="1" applyFill="1" applyBorder="1" applyAlignment="1" applyProtection="1">
      <alignment horizontal="center" vertical="center" wrapText="1"/>
      <protection hidden="1"/>
    </xf>
    <xf numFmtId="16" fontId="10" fillId="0" borderId="1" xfId="0" applyNumberFormat="1" applyFont="1" applyBorder="1" applyAlignment="1" applyProtection="1">
      <alignment horizontal="center" vertical="center" wrapText="1"/>
      <protection hidden="1"/>
    </xf>
    <xf numFmtId="9" fontId="10" fillId="0" borderId="1" xfId="0" applyNumberFormat="1" applyFont="1" applyBorder="1" applyAlignment="1" applyProtection="1">
      <alignment horizontal="center" vertical="center" wrapText="1"/>
      <protection hidden="1"/>
    </xf>
    <xf numFmtId="164" fontId="10" fillId="0" borderId="1" xfId="0" applyNumberFormat="1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left" vertical="top" wrapText="1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5" fillId="0" borderId="0" xfId="0" applyFont="1" applyAlignment="1" applyProtection="1">
      <alignment horizontal="center" wrapText="1"/>
      <protection hidden="1"/>
    </xf>
    <xf numFmtId="9" fontId="3" fillId="0" borderId="0" xfId="1" applyFont="1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9" fontId="11" fillId="0" borderId="0" xfId="1" applyFont="1" applyAlignment="1">
      <alignment vertical="center"/>
    </xf>
    <xf numFmtId="9" fontId="11" fillId="0" borderId="0" xfId="0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2D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'HSE IT'!$G$52:$G$58</c:f>
              <c:strCache>
                <c:ptCount val="7"/>
                <c:pt idx="0">
                  <c:v>Demanda</c:v>
                </c:pt>
                <c:pt idx="1">
                  <c:v>Relacionamentos</c:v>
                </c:pt>
                <c:pt idx="2">
                  <c:v>Controle</c:v>
                </c:pt>
                <c:pt idx="3">
                  <c:v>Apoio da chefia</c:v>
                </c:pt>
                <c:pt idx="4">
                  <c:v>Apoio dos colegas</c:v>
                </c:pt>
                <c:pt idx="5">
                  <c:v>Cargo</c:v>
                </c:pt>
                <c:pt idx="6">
                  <c:v>Comunicação e mudanças</c:v>
                </c:pt>
              </c:strCache>
            </c:strRef>
          </c:cat>
          <c:val>
            <c:numRef>
              <c:f>'HSE IT'!$H$52:$H$58</c:f>
              <c:numCache>
                <c:formatCode>0%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0.33333333333333331</c:v>
                </c:pt>
                <c:pt idx="3">
                  <c:v>0.4</c:v>
                </c:pt>
                <c:pt idx="4">
                  <c:v>0.75</c:v>
                </c:pt>
                <c:pt idx="5">
                  <c:v>0.8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5-4603-B8B0-DB8C96AE5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74639"/>
        <c:axId val="112367919"/>
      </c:barChart>
      <c:catAx>
        <c:axId val="11237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367919"/>
        <c:crosses val="autoZero"/>
        <c:auto val="1"/>
        <c:lblAlgn val="ctr"/>
        <c:lblOffset val="100"/>
        <c:noMultiLvlLbl val="0"/>
      </c:catAx>
      <c:valAx>
        <c:axId val="11236791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237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50</xdr:row>
      <xdr:rowOff>47625</xdr:rowOff>
    </xdr:from>
    <xdr:to>
      <xdr:col>9</xdr:col>
      <xdr:colOff>623093</xdr:colOff>
      <xdr:row>59</xdr:row>
      <xdr:rowOff>99219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ED0FE0-5F24-4B64-B947-892BCDE5C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9.%20PLANILHA%20FERRAMENTAS%20ERGON&#212;MICAS\Kit-Ferramentas-Psicossociais-e-Cognitivas-tsxaul.xlsx" TargetMode="External"/><Relationship Id="rId1" Type="http://schemas.openxmlformats.org/officeDocument/2006/relationships/externalLinkPath" Target="file:///S:\9.%20PLANILHA%20FERRAMENTAS%20ERGON&#212;MICAS\Kit-Ferramentas-Psicossociais-e-Cognitivas-tsxau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gor.eleuterio/Downloads/wsh_lifting_guidelines_283313_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ECO"/>
      <sheetName val="SQR-20"/>
      <sheetName val="MOS-SSS"/>
      <sheetName val="NASA TLX"/>
      <sheetName val="ERGOS"/>
      <sheetName val="JOB STRESS SCALE"/>
      <sheetName val="ESS"/>
      <sheetName val="ECTF"/>
      <sheetName val="EFAL"/>
      <sheetName val="ESCAM"/>
      <sheetName val="ERI"/>
      <sheetName val="MAC-Q"/>
      <sheetName val="WSQ S20"/>
      <sheetName val="HSE IT"/>
      <sheetName val="MPF"/>
      <sheetName val="BÔNUS - BEST BRI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2">
          <cell r="G52" t="str">
            <v>Demanda</v>
          </cell>
          <cell r="H52">
            <v>0.25</v>
          </cell>
        </row>
        <row r="53">
          <cell r="G53" t="str">
            <v>Relacionamentos</v>
          </cell>
          <cell r="H53">
            <v>0.5</v>
          </cell>
        </row>
        <row r="54">
          <cell r="G54" t="str">
            <v>Controle</v>
          </cell>
          <cell r="H54">
            <v>0.33333333333333331</v>
          </cell>
        </row>
        <row r="55">
          <cell r="G55" t="str">
            <v>Apoio da chefia</v>
          </cell>
          <cell r="H55">
            <v>0.4</v>
          </cell>
        </row>
        <row r="56">
          <cell r="G56" t="str">
            <v>Apoio dos colegas</v>
          </cell>
          <cell r="H56">
            <v>0.75</v>
          </cell>
        </row>
        <row r="57">
          <cell r="G57" t="str">
            <v>Cargo</v>
          </cell>
          <cell r="H57">
            <v>0.4</v>
          </cell>
        </row>
        <row r="58">
          <cell r="G58" t="str">
            <v>Comunicação e mudanças</v>
          </cell>
          <cell r="H58">
            <v>1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OSH Lifting Equation"/>
      <sheetName val="NIOSH Lifting Equation - METRIC"/>
      <sheetName val="NIOSH CLI"/>
      <sheetName val="NIOSH CLI - METRIC"/>
      <sheetName val="PULL"/>
      <sheetName val="PUSH"/>
      <sheetName val="CARRY"/>
      <sheetName val="Lift Data "/>
      <sheetName val="Lower Data"/>
      <sheetName val="Push Data "/>
      <sheetName val="Pull Data"/>
      <sheetName val="Carry Data"/>
    </sheetNames>
    <sheetDataSet>
      <sheetData sheetId="0">
        <row r="20">
          <cell r="H20">
            <v>0</v>
          </cell>
        </row>
        <row r="22">
          <cell r="L22">
            <v>0</v>
          </cell>
        </row>
        <row r="23">
          <cell r="H23">
            <v>0</v>
          </cell>
        </row>
        <row r="26">
          <cell r="H26">
            <v>0</v>
          </cell>
        </row>
        <row r="29">
          <cell r="H29">
            <v>0</v>
          </cell>
        </row>
        <row r="32">
          <cell r="H32">
            <v>0</v>
          </cell>
        </row>
        <row r="33">
          <cell r="L33">
            <v>0</v>
          </cell>
        </row>
        <row r="38">
          <cell r="H38">
            <v>0</v>
          </cell>
        </row>
      </sheetData>
      <sheetData sheetId="1">
        <row r="22">
          <cell r="L2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F70D-31E0-425C-92C0-53A9D2AF7785}">
  <sheetPr>
    <tabColor rgb="FF19CCA3"/>
  </sheetPr>
  <dimension ref="A1:J82"/>
  <sheetViews>
    <sheetView showGridLines="0" showRowColHeaders="0" tabSelected="1" zoomScale="120" zoomScaleNormal="120" zoomScaleSheetLayoutView="120" workbookViewId="0">
      <selection activeCell="J46" sqref="J46"/>
    </sheetView>
  </sheetViews>
  <sheetFormatPr defaultColWidth="0" defaultRowHeight="9.6" customHeight="1" zeroHeight="1" x14ac:dyDescent="0.2"/>
  <cols>
    <col min="1" max="10" width="9" style="2" customWidth="1"/>
    <col min="11" max="16384" width="9.109375" style="2" hidden="1"/>
  </cols>
  <sheetData>
    <row r="1" spans="1:10" ht="14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9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9" customHeight="1" x14ac:dyDescent="0.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9" customHeight="1" thickBot="1" x14ac:dyDescent="0.25">
      <c r="A4" s="4"/>
      <c r="B4" s="5"/>
      <c r="C4" s="5"/>
      <c r="D4" s="5"/>
      <c r="E4" s="5"/>
      <c r="F4" s="5"/>
      <c r="G4" s="5"/>
      <c r="H4" s="5"/>
      <c r="I4" s="5"/>
      <c r="J4" s="5"/>
    </row>
    <row r="5" spans="1:10" ht="15" customHeight="1" thickTop="1" thickBot="1" x14ac:dyDescent="0.25">
      <c r="A5" s="6" t="s">
        <v>3</v>
      </c>
      <c r="B5" s="6"/>
      <c r="C5" s="6"/>
      <c r="D5" s="6"/>
      <c r="E5" s="6"/>
      <c r="F5" s="6"/>
      <c r="G5" s="7" t="s">
        <v>4</v>
      </c>
      <c r="H5" s="8" t="s">
        <v>5</v>
      </c>
      <c r="I5" s="9"/>
      <c r="J5" s="10"/>
    </row>
    <row r="6" spans="1:10" ht="15" customHeight="1" thickTop="1" thickBot="1" x14ac:dyDescent="0.25">
      <c r="A6" s="6" t="s">
        <v>6</v>
      </c>
      <c r="B6" s="6"/>
      <c r="C6" s="6"/>
      <c r="D6" s="6"/>
      <c r="E6" s="6"/>
      <c r="F6" s="6"/>
      <c r="G6" s="6" t="s">
        <v>7</v>
      </c>
      <c r="H6" s="6"/>
      <c r="I6" s="6"/>
      <c r="J6" s="6"/>
    </row>
    <row r="7" spans="1:10" ht="9" customHeight="1" thickTop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ht="9" customHeight="1" x14ac:dyDescent="0.2">
      <c r="A8" s="12" t="s">
        <v>8</v>
      </c>
      <c r="B8" s="11"/>
      <c r="C8" s="11"/>
      <c r="D8" s="11"/>
      <c r="E8" s="11"/>
      <c r="F8" s="11"/>
      <c r="G8" s="11"/>
      <c r="H8" s="11"/>
      <c r="I8" s="11"/>
      <c r="J8" s="11"/>
    </row>
    <row r="9" spans="1:10" ht="18" customHeight="1" thickBot="1" x14ac:dyDescent="0.25">
      <c r="A9" s="13" t="s">
        <v>9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5" customHeight="1" thickTop="1" thickBot="1" x14ac:dyDescent="0.25">
      <c r="A10" s="15">
        <v>1</v>
      </c>
      <c r="B10" s="15"/>
      <c r="C10" s="16">
        <v>2</v>
      </c>
      <c r="D10" s="16"/>
      <c r="E10" s="16">
        <v>3</v>
      </c>
      <c r="F10" s="16"/>
      <c r="G10" s="16">
        <v>4</v>
      </c>
      <c r="H10" s="16"/>
      <c r="I10" s="16">
        <v>5</v>
      </c>
      <c r="J10" s="16"/>
    </row>
    <row r="11" spans="1:10" ht="15" customHeight="1" thickTop="1" thickBot="1" x14ac:dyDescent="0.25">
      <c r="A11" s="17" t="s">
        <v>10</v>
      </c>
      <c r="B11" s="17"/>
      <c r="C11" s="17" t="s">
        <v>11</v>
      </c>
      <c r="D11" s="18"/>
      <c r="E11" s="17" t="s">
        <v>12</v>
      </c>
      <c r="F11" s="18"/>
      <c r="G11" s="17" t="s">
        <v>13</v>
      </c>
      <c r="H11" s="18"/>
      <c r="I11" s="18" t="s">
        <v>14</v>
      </c>
      <c r="J11" s="18"/>
    </row>
    <row r="12" spans="1:10" ht="9" customHeight="1" thickTop="1" thickBo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5" customHeight="1" thickTop="1" thickBot="1" x14ac:dyDescent="0.25">
      <c r="A13" s="19" t="s">
        <v>15</v>
      </c>
      <c r="B13" s="20"/>
      <c r="C13" s="19" t="s">
        <v>16</v>
      </c>
      <c r="D13" s="21"/>
      <c r="E13" s="21"/>
      <c r="F13" s="21"/>
      <c r="G13" s="21"/>
      <c r="H13" s="21"/>
      <c r="I13" s="20"/>
      <c r="J13" s="22" t="s">
        <v>17</v>
      </c>
    </row>
    <row r="14" spans="1:10" ht="15" customHeight="1" thickTop="1" thickBot="1" x14ac:dyDescent="0.25">
      <c r="A14" s="23" t="s">
        <v>18</v>
      </c>
      <c r="B14" s="24"/>
      <c r="C14" s="25">
        <v>1</v>
      </c>
      <c r="D14" s="26" t="s">
        <v>19</v>
      </c>
      <c r="E14" s="27"/>
      <c r="F14" s="27"/>
      <c r="G14" s="27"/>
      <c r="H14" s="27"/>
      <c r="I14" s="28"/>
      <c r="J14" s="29">
        <v>1</v>
      </c>
    </row>
    <row r="15" spans="1:10" ht="15" customHeight="1" thickTop="1" thickBot="1" x14ac:dyDescent="0.25">
      <c r="A15" s="30"/>
      <c r="B15" s="31"/>
      <c r="C15" s="25">
        <v>2</v>
      </c>
      <c r="D15" s="26" t="s">
        <v>20</v>
      </c>
      <c r="E15" s="27"/>
      <c r="F15" s="27"/>
      <c r="G15" s="27"/>
      <c r="H15" s="27"/>
      <c r="I15" s="28"/>
      <c r="J15" s="29">
        <v>1</v>
      </c>
    </row>
    <row r="16" spans="1:10" ht="15" customHeight="1" thickTop="1" thickBot="1" x14ac:dyDescent="0.25">
      <c r="A16" s="30"/>
      <c r="B16" s="31"/>
      <c r="C16" s="25">
        <v>3</v>
      </c>
      <c r="D16" s="26" t="s">
        <v>21</v>
      </c>
      <c r="E16" s="27"/>
      <c r="F16" s="27"/>
      <c r="G16" s="27"/>
      <c r="H16" s="27"/>
      <c r="I16" s="28"/>
      <c r="J16" s="29">
        <v>2</v>
      </c>
    </row>
    <row r="17" spans="1:10" ht="15" customHeight="1" thickTop="1" thickBot="1" x14ac:dyDescent="0.25">
      <c r="A17" s="30"/>
      <c r="B17" s="31"/>
      <c r="C17" s="25">
        <v>4</v>
      </c>
      <c r="D17" s="26" t="s">
        <v>22</v>
      </c>
      <c r="E17" s="27"/>
      <c r="F17" s="27"/>
      <c r="G17" s="27"/>
      <c r="H17" s="27"/>
      <c r="I17" s="28"/>
      <c r="J17" s="29">
        <v>3</v>
      </c>
    </row>
    <row r="18" spans="1:10" ht="15" customHeight="1" thickTop="1" thickBot="1" x14ac:dyDescent="0.25">
      <c r="A18" s="30"/>
      <c r="B18" s="31"/>
      <c r="C18" s="25">
        <v>5</v>
      </c>
      <c r="D18" s="26" t="s">
        <v>23</v>
      </c>
      <c r="E18" s="27"/>
      <c r="F18" s="27"/>
      <c r="G18" s="27"/>
      <c r="H18" s="27"/>
      <c r="I18" s="28"/>
      <c r="J18" s="29">
        <v>4</v>
      </c>
    </row>
    <row r="19" spans="1:10" ht="15" customHeight="1" thickTop="1" thickBot="1" x14ac:dyDescent="0.25">
      <c r="A19" s="30"/>
      <c r="B19" s="31"/>
      <c r="C19" s="25">
        <v>6</v>
      </c>
      <c r="D19" s="26" t="s">
        <v>24</v>
      </c>
      <c r="E19" s="27"/>
      <c r="F19" s="27"/>
      <c r="G19" s="27"/>
      <c r="H19" s="27"/>
      <c r="I19" s="28"/>
      <c r="J19" s="29">
        <v>5</v>
      </c>
    </row>
    <row r="20" spans="1:10" ht="15" customHeight="1" thickTop="1" thickBot="1" x14ac:dyDescent="0.25">
      <c r="A20" s="30"/>
      <c r="B20" s="31"/>
      <c r="C20" s="25">
        <v>7</v>
      </c>
      <c r="D20" s="26" t="s">
        <v>25</v>
      </c>
      <c r="E20" s="27"/>
      <c r="F20" s="27"/>
      <c r="G20" s="27"/>
      <c r="H20" s="27"/>
      <c r="I20" s="28"/>
      <c r="J20" s="29">
        <v>2</v>
      </c>
    </row>
    <row r="21" spans="1:10" ht="15" customHeight="1" thickTop="1" thickBot="1" x14ac:dyDescent="0.25">
      <c r="A21" s="32"/>
      <c r="B21" s="33"/>
      <c r="C21" s="25">
        <v>8</v>
      </c>
      <c r="D21" s="26" t="s">
        <v>26</v>
      </c>
      <c r="E21" s="27"/>
      <c r="F21" s="27"/>
      <c r="G21" s="27"/>
      <c r="H21" s="27"/>
      <c r="I21" s="28"/>
      <c r="J21" s="29">
        <v>3</v>
      </c>
    </row>
    <row r="22" spans="1:10" ht="15" customHeight="1" thickTop="1" thickBot="1" x14ac:dyDescent="0.25">
      <c r="A22" s="23" t="s">
        <v>27</v>
      </c>
      <c r="B22" s="24"/>
      <c r="C22" s="25">
        <v>9</v>
      </c>
      <c r="D22" s="26" t="s">
        <v>28</v>
      </c>
      <c r="E22" s="27"/>
      <c r="F22" s="27"/>
      <c r="G22" s="27"/>
      <c r="H22" s="27"/>
      <c r="I22" s="28"/>
      <c r="J22" s="29">
        <v>5</v>
      </c>
    </row>
    <row r="23" spans="1:10" ht="15" customHeight="1" thickTop="1" thickBot="1" x14ac:dyDescent="0.25">
      <c r="A23" s="30"/>
      <c r="B23" s="31"/>
      <c r="C23" s="25">
        <v>10</v>
      </c>
      <c r="D23" s="26" t="s">
        <v>29</v>
      </c>
      <c r="E23" s="27"/>
      <c r="F23" s="27"/>
      <c r="G23" s="27"/>
      <c r="H23" s="27"/>
      <c r="I23" s="28"/>
      <c r="J23" s="29">
        <v>4</v>
      </c>
    </row>
    <row r="24" spans="1:10" ht="15" customHeight="1" thickTop="1" thickBot="1" x14ac:dyDescent="0.25">
      <c r="A24" s="30"/>
      <c r="B24" s="31"/>
      <c r="C24" s="25">
        <v>11</v>
      </c>
      <c r="D24" s="26" t="s">
        <v>30</v>
      </c>
      <c r="E24" s="27"/>
      <c r="F24" s="27"/>
      <c r="G24" s="27"/>
      <c r="H24" s="27"/>
      <c r="I24" s="28"/>
      <c r="J24" s="29">
        <v>1</v>
      </c>
    </row>
    <row r="25" spans="1:10" ht="15" customHeight="1" thickTop="1" thickBot="1" x14ac:dyDescent="0.25">
      <c r="A25" s="32"/>
      <c r="B25" s="33"/>
      <c r="C25" s="25">
        <v>12</v>
      </c>
      <c r="D25" s="26" t="s">
        <v>31</v>
      </c>
      <c r="E25" s="27"/>
      <c r="F25" s="27"/>
      <c r="G25" s="27"/>
      <c r="H25" s="27"/>
      <c r="I25" s="28"/>
      <c r="J25" s="29">
        <v>2</v>
      </c>
    </row>
    <row r="26" spans="1:10" ht="15" customHeight="1" thickTop="1" thickBot="1" x14ac:dyDescent="0.25">
      <c r="A26" s="23" t="s">
        <v>32</v>
      </c>
      <c r="B26" s="24"/>
      <c r="C26" s="25">
        <v>13</v>
      </c>
      <c r="D26" s="26" t="s">
        <v>33</v>
      </c>
      <c r="E26" s="27"/>
      <c r="F26" s="27"/>
      <c r="G26" s="27"/>
      <c r="H26" s="27"/>
      <c r="I26" s="28"/>
      <c r="J26" s="29">
        <v>3</v>
      </c>
    </row>
    <row r="27" spans="1:10" ht="15" customHeight="1" thickTop="1" thickBot="1" x14ac:dyDescent="0.25">
      <c r="A27" s="30"/>
      <c r="B27" s="31"/>
      <c r="C27" s="25">
        <v>14</v>
      </c>
      <c r="D27" s="26" t="s">
        <v>34</v>
      </c>
      <c r="E27" s="27"/>
      <c r="F27" s="27"/>
      <c r="G27" s="27"/>
      <c r="H27" s="27"/>
      <c r="I27" s="28"/>
      <c r="J27" s="29">
        <v>4</v>
      </c>
    </row>
    <row r="28" spans="1:10" ht="15" customHeight="1" thickTop="1" thickBot="1" x14ac:dyDescent="0.25">
      <c r="A28" s="30"/>
      <c r="B28" s="31"/>
      <c r="C28" s="25">
        <v>15</v>
      </c>
      <c r="D28" s="26" t="s">
        <v>35</v>
      </c>
      <c r="E28" s="27"/>
      <c r="F28" s="27"/>
      <c r="G28" s="27"/>
      <c r="H28" s="27"/>
      <c r="I28" s="28"/>
      <c r="J28" s="29">
        <v>5</v>
      </c>
    </row>
    <row r="29" spans="1:10" ht="15" customHeight="1" thickTop="1" thickBot="1" x14ac:dyDescent="0.25">
      <c r="A29" s="30"/>
      <c r="B29" s="31"/>
      <c r="C29" s="25">
        <v>16</v>
      </c>
      <c r="D29" s="26" t="s">
        <v>36</v>
      </c>
      <c r="E29" s="27"/>
      <c r="F29" s="27"/>
      <c r="G29" s="27"/>
      <c r="H29" s="27"/>
      <c r="I29" s="28"/>
      <c r="J29" s="29">
        <v>2</v>
      </c>
    </row>
    <row r="30" spans="1:10" ht="15" customHeight="1" thickTop="1" thickBot="1" x14ac:dyDescent="0.25">
      <c r="A30" s="30"/>
      <c r="B30" s="31"/>
      <c r="C30" s="25">
        <v>17</v>
      </c>
      <c r="D30" s="26" t="s">
        <v>37</v>
      </c>
      <c r="E30" s="27"/>
      <c r="F30" s="27"/>
      <c r="G30" s="27"/>
      <c r="H30" s="27"/>
      <c r="I30" s="28"/>
      <c r="J30" s="29">
        <v>1</v>
      </c>
    </row>
    <row r="31" spans="1:10" ht="15" customHeight="1" thickTop="1" thickBot="1" x14ac:dyDescent="0.25">
      <c r="A31" s="32"/>
      <c r="B31" s="33"/>
      <c r="C31" s="25">
        <v>18</v>
      </c>
      <c r="D31" s="26" t="s">
        <v>38</v>
      </c>
      <c r="E31" s="27"/>
      <c r="F31" s="27"/>
      <c r="G31" s="27"/>
      <c r="H31" s="27"/>
      <c r="I31" s="28"/>
      <c r="J31" s="29">
        <v>3</v>
      </c>
    </row>
    <row r="32" spans="1:10" ht="15" customHeight="1" thickTop="1" thickBot="1" x14ac:dyDescent="0.25">
      <c r="A32" s="23" t="s">
        <v>39</v>
      </c>
      <c r="B32" s="24"/>
      <c r="C32" s="25">
        <v>19</v>
      </c>
      <c r="D32" s="26" t="s">
        <v>40</v>
      </c>
      <c r="E32" s="27"/>
      <c r="F32" s="27"/>
      <c r="G32" s="27"/>
      <c r="H32" s="27"/>
      <c r="I32" s="28"/>
      <c r="J32" s="29">
        <v>4</v>
      </c>
    </row>
    <row r="33" spans="1:10" ht="15" customHeight="1" thickTop="1" thickBot="1" x14ac:dyDescent="0.25">
      <c r="A33" s="30"/>
      <c r="B33" s="31"/>
      <c r="C33" s="25">
        <v>20</v>
      </c>
      <c r="D33" s="26" t="s">
        <v>41</v>
      </c>
      <c r="E33" s="27"/>
      <c r="F33" s="27"/>
      <c r="G33" s="27"/>
      <c r="H33" s="27"/>
      <c r="I33" s="28"/>
      <c r="J33" s="29">
        <v>2</v>
      </c>
    </row>
    <row r="34" spans="1:10" ht="15" customHeight="1" thickTop="1" thickBot="1" x14ac:dyDescent="0.25">
      <c r="A34" s="30"/>
      <c r="B34" s="31"/>
      <c r="C34" s="25">
        <v>21</v>
      </c>
      <c r="D34" s="26" t="s">
        <v>42</v>
      </c>
      <c r="E34" s="27"/>
      <c r="F34" s="27"/>
      <c r="G34" s="27"/>
      <c r="H34" s="27"/>
      <c r="I34" s="28"/>
      <c r="J34" s="29">
        <v>5</v>
      </c>
    </row>
    <row r="35" spans="1:10" ht="15" customHeight="1" thickTop="1" thickBot="1" x14ac:dyDescent="0.25">
      <c r="A35" s="30"/>
      <c r="B35" s="31"/>
      <c r="C35" s="25">
        <v>22</v>
      </c>
      <c r="D35" s="26" t="s">
        <v>43</v>
      </c>
      <c r="E35" s="27"/>
      <c r="F35" s="27"/>
      <c r="G35" s="27"/>
      <c r="H35" s="27"/>
      <c r="I35" s="28"/>
      <c r="J35" s="29">
        <v>3</v>
      </c>
    </row>
    <row r="36" spans="1:10" ht="15" customHeight="1" thickTop="1" thickBot="1" x14ac:dyDescent="0.25">
      <c r="A36" s="32"/>
      <c r="B36" s="33"/>
      <c r="C36" s="25">
        <v>23</v>
      </c>
      <c r="D36" s="26" t="s">
        <v>44</v>
      </c>
      <c r="E36" s="27"/>
      <c r="F36" s="27"/>
      <c r="G36" s="27"/>
      <c r="H36" s="27"/>
      <c r="I36" s="28"/>
      <c r="J36" s="29">
        <v>1</v>
      </c>
    </row>
    <row r="37" spans="1:10" ht="15" customHeight="1" thickTop="1" thickBot="1" x14ac:dyDescent="0.25">
      <c r="A37" s="23" t="s">
        <v>45</v>
      </c>
      <c r="B37" s="24"/>
      <c r="C37" s="25">
        <v>24</v>
      </c>
      <c r="D37" s="26" t="s">
        <v>46</v>
      </c>
      <c r="E37" s="27"/>
      <c r="F37" s="27"/>
      <c r="G37" s="27"/>
      <c r="H37" s="27"/>
      <c r="I37" s="28"/>
      <c r="J37" s="29">
        <v>4</v>
      </c>
    </row>
    <row r="38" spans="1:10" ht="15" customHeight="1" thickTop="1" thickBot="1" x14ac:dyDescent="0.25">
      <c r="A38" s="30"/>
      <c r="B38" s="31"/>
      <c r="C38" s="25">
        <v>25</v>
      </c>
      <c r="D38" s="26" t="s">
        <v>47</v>
      </c>
      <c r="E38" s="27"/>
      <c r="F38" s="27"/>
      <c r="G38" s="27"/>
      <c r="H38" s="27"/>
      <c r="I38" s="28"/>
      <c r="J38" s="29">
        <v>1</v>
      </c>
    </row>
    <row r="39" spans="1:10" ht="15" customHeight="1" thickTop="1" thickBot="1" x14ac:dyDescent="0.25">
      <c r="A39" s="30"/>
      <c r="B39" s="31"/>
      <c r="C39" s="25">
        <v>26</v>
      </c>
      <c r="D39" s="26" t="s">
        <v>48</v>
      </c>
      <c r="E39" s="27"/>
      <c r="F39" s="27"/>
      <c r="G39" s="27"/>
      <c r="H39" s="27"/>
      <c r="I39" s="28"/>
      <c r="J39" s="29">
        <v>1</v>
      </c>
    </row>
    <row r="40" spans="1:10" ht="15" customHeight="1" thickTop="1" thickBot="1" x14ac:dyDescent="0.25">
      <c r="A40" s="32"/>
      <c r="B40" s="33"/>
      <c r="C40" s="25">
        <v>27</v>
      </c>
      <c r="D40" s="26" t="s">
        <v>49</v>
      </c>
      <c r="E40" s="27"/>
      <c r="F40" s="27"/>
      <c r="G40" s="27"/>
      <c r="H40" s="27"/>
      <c r="I40" s="28"/>
      <c r="J40" s="29">
        <v>2</v>
      </c>
    </row>
    <row r="41" spans="1:10" ht="15" customHeight="1" thickTop="1" thickBot="1" x14ac:dyDescent="0.25">
      <c r="A41" s="23" t="s">
        <v>50</v>
      </c>
      <c r="B41" s="34"/>
      <c r="C41" s="25">
        <v>28</v>
      </c>
      <c r="D41" s="26" t="s">
        <v>51</v>
      </c>
      <c r="E41" s="27"/>
      <c r="F41" s="27"/>
      <c r="G41" s="27"/>
      <c r="H41" s="27"/>
      <c r="I41" s="28"/>
      <c r="J41" s="29">
        <v>3</v>
      </c>
    </row>
    <row r="42" spans="1:10" ht="15" customHeight="1" thickTop="1" thickBot="1" x14ac:dyDescent="0.25">
      <c r="A42" s="35"/>
      <c r="B42" s="36"/>
      <c r="C42" s="25">
        <v>29</v>
      </c>
      <c r="D42" s="26" t="s">
        <v>52</v>
      </c>
      <c r="E42" s="27"/>
      <c r="F42" s="27"/>
      <c r="G42" s="27"/>
      <c r="H42" s="27"/>
      <c r="I42" s="28"/>
      <c r="J42" s="29">
        <v>2</v>
      </c>
    </row>
    <row r="43" spans="1:10" ht="15" customHeight="1" thickTop="1" thickBot="1" x14ac:dyDescent="0.25">
      <c r="A43" s="35"/>
      <c r="B43" s="36"/>
      <c r="C43" s="25">
        <v>30</v>
      </c>
      <c r="D43" s="26" t="s">
        <v>53</v>
      </c>
      <c r="E43" s="27"/>
      <c r="F43" s="27"/>
      <c r="G43" s="27"/>
      <c r="H43" s="27"/>
      <c r="I43" s="28"/>
      <c r="J43" s="29">
        <v>2</v>
      </c>
    </row>
    <row r="44" spans="1:10" ht="15" customHeight="1" thickTop="1" thickBot="1" x14ac:dyDescent="0.25">
      <c r="A44" s="35"/>
      <c r="B44" s="36"/>
      <c r="C44" s="25">
        <v>31</v>
      </c>
      <c r="D44" s="26" t="s">
        <v>54</v>
      </c>
      <c r="E44" s="27"/>
      <c r="F44" s="27"/>
      <c r="G44" s="27"/>
      <c r="H44" s="27"/>
      <c r="I44" s="28"/>
      <c r="J44" s="29">
        <v>1</v>
      </c>
    </row>
    <row r="45" spans="1:10" ht="15" customHeight="1" thickTop="1" thickBot="1" x14ac:dyDescent="0.25">
      <c r="A45" s="37"/>
      <c r="B45" s="38"/>
      <c r="C45" s="25">
        <v>32</v>
      </c>
      <c r="D45" s="26" t="s">
        <v>55</v>
      </c>
      <c r="E45" s="27"/>
      <c r="F45" s="27"/>
      <c r="G45" s="27"/>
      <c r="H45" s="27"/>
      <c r="I45" s="28"/>
      <c r="J45" s="29">
        <v>2</v>
      </c>
    </row>
    <row r="46" spans="1:10" ht="15" customHeight="1" thickTop="1" thickBot="1" x14ac:dyDescent="0.25">
      <c r="A46" s="23" t="s">
        <v>56</v>
      </c>
      <c r="B46" s="34"/>
      <c r="C46" s="25">
        <v>33</v>
      </c>
      <c r="D46" s="26" t="s">
        <v>57</v>
      </c>
      <c r="E46" s="27"/>
      <c r="F46" s="27"/>
      <c r="G46" s="27"/>
      <c r="H46" s="27"/>
      <c r="I46" s="28"/>
      <c r="J46" s="29">
        <v>1</v>
      </c>
    </row>
    <row r="47" spans="1:10" ht="15" customHeight="1" thickTop="1" thickBot="1" x14ac:dyDescent="0.25">
      <c r="A47" s="35"/>
      <c r="B47" s="36"/>
      <c r="C47" s="25">
        <v>34</v>
      </c>
      <c r="D47" s="26" t="s">
        <v>58</v>
      </c>
      <c r="E47" s="27"/>
      <c r="F47" s="27"/>
      <c r="G47" s="27"/>
      <c r="H47" s="27"/>
      <c r="I47" s="28"/>
      <c r="J47" s="29">
        <v>2</v>
      </c>
    </row>
    <row r="48" spans="1:10" ht="15" customHeight="1" thickTop="1" thickBot="1" x14ac:dyDescent="0.25">
      <c r="A48" s="37"/>
      <c r="B48" s="38"/>
      <c r="C48" s="25">
        <v>35</v>
      </c>
      <c r="D48" s="26" t="s">
        <v>59</v>
      </c>
      <c r="E48" s="27"/>
      <c r="F48" s="27"/>
      <c r="G48" s="27"/>
      <c r="H48" s="27"/>
      <c r="I48" s="28"/>
      <c r="J48" s="29">
        <v>1</v>
      </c>
    </row>
    <row r="49" spans="1:10" ht="15" customHeight="1" thickTop="1" thickBot="1" x14ac:dyDescent="0.25">
      <c r="A49" s="39"/>
      <c r="B49" s="40"/>
      <c r="C49" s="41"/>
      <c r="D49" s="40"/>
      <c r="E49" s="40"/>
      <c r="F49" s="41"/>
      <c r="G49" s="41"/>
      <c r="H49" s="41"/>
      <c r="I49" s="42"/>
      <c r="J49" s="43"/>
    </row>
    <row r="50" spans="1:10" ht="15" customHeight="1" thickTop="1" thickBot="1" x14ac:dyDescent="0.25">
      <c r="A50" s="44" t="s">
        <v>60</v>
      </c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5" customHeight="1" thickTop="1" thickBot="1" x14ac:dyDescent="0.25">
      <c r="A51" s="47"/>
      <c r="B51" s="48" t="s">
        <v>61</v>
      </c>
      <c r="C51" s="49" t="s">
        <v>62</v>
      </c>
      <c r="D51" s="49"/>
      <c r="E51" s="50" t="s">
        <v>63</v>
      </c>
      <c r="F51" s="51" t="s">
        <v>64</v>
      </c>
      <c r="G51" s="48" t="s">
        <v>61</v>
      </c>
      <c r="H51" s="48" t="s">
        <v>65</v>
      </c>
      <c r="I51" s="52"/>
      <c r="J51" s="53"/>
    </row>
    <row r="52" spans="1:10" ht="15" customHeight="1" thickTop="1" thickBot="1" x14ac:dyDescent="0.25">
      <c r="A52" s="47"/>
      <c r="B52" s="48" t="s">
        <v>66</v>
      </c>
      <c r="C52" s="51">
        <f>COUNTIF(J14:J21,"4")</f>
        <v>1</v>
      </c>
      <c r="D52" s="51">
        <f>COUNTIF(J14:J21,"5")</f>
        <v>1</v>
      </c>
      <c r="E52" s="50">
        <f>SUM(C52:D52)</f>
        <v>2</v>
      </c>
      <c r="F52" s="51">
        <v>8</v>
      </c>
      <c r="G52" s="48" t="s">
        <v>66</v>
      </c>
      <c r="H52" s="54">
        <f t="shared" ref="H52:H58" si="0">E52*1/F52</f>
        <v>0.25</v>
      </c>
      <c r="I52" s="55"/>
      <c r="J52" s="53"/>
    </row>
    <row r="53" spans="1:10" ht="15" customHeight="1" thickTop="1" thickBot="1" x14ac:dyDescent="0.25">
      <c r="A53" s="47"/>
      <c r="B53" s="48" t="s">
        <v>67</v>
      </c>
      <c r="C53" s="51">
        <f>COUNTIF(J22:J25,"4")</f>
        <v>1</v>
      </c>
      <c r="D53" s="51">
        <f>COUNTIF(J22:J25,"5")</f>
        <v>1</v>
      </c>
      <c r="E53" s="50">
        <f t="shared" ref="E53:E58" si="1">SUM(C53:D53)</f>
        <v>2</v>
      </c>
      <c r="F53" s="51">
        <v>4</v>
      </c>
      <c r="G53" s="48" t="s">
        <v>67</v>
      </c>
      <c r="H53" s="54">
        <f t="shared" si="0"/>
        <v>0.5</v>
      </c>
      <c r="I53" s="52"/>
      <c r="J53" s="53"/>
    </row>
    <row r="54" spans="1:10" ht="15" customHeight="1" thickTop="1" thickBot="1" x14ac:dyDescent="0.25">
      <c r="A54" s="47"/>
      <c r="B54" s="48" t="s">
        <v>68</v>
      </c>
      <c r="C54" s="51">
        <f>COUNTIF(J26:J31,"1")</f>
        <v>1</v>
      </c>
      <c r="D54" s="51">
        <f>COUNTIF(J26:J31,"2")</f>
        <v>1</v>
      </c>
      <c r="E54" s="50">
        <f t="shared" si="1"/>
        <v>2</v>
      </c>
      <c r="F54" s="51">
        <v>6</v>
      </c>
      <c r="G54" s="48" t="s">
        <v>68</v>
      </c>
      <c r="H54" s="54">
        <f t="shared" si="0"/>
        <v>0.33333333333333331</v>
      </c>
      <c r="I54" s="56"/>
      <c r="J54" s="53"/>
    </row>
    <row r="55" spans="1:10" ht="15" customHeight="1" thickTop="1" thickBot="1" x14ac:dyDescent="0.25">
      <c r="A55" s="47"/>
      <c r="B55" s="48" t="s">
        <v>69</v>
      </c>
      <c r="C55" s="51">
        <f>COUNTIF(J32:J36,"1")</f>
        <v>1</v>
      </c>
      <c r="D55" s="51">
        <f>COUNTIF(J32:J36,"2")</f>
        <v>1</v>
      </c>
      <c r="E55" s="50">
        <f t="shared" si="1"/>
        <v>2</v>
      </c>
      <c r="F55" s="51">
        <v>5</v>
      </c>
      <c r="G55" s="48" t="s">
        <v>69</v>
      </c>
      <c r="H55" s="54">
        <f t="shared" si="0"/>
        <v>0.4</v>
      </c>
      <c r="I55" s="57"/>
      <c r="J55" s="53"/>
    </row>
    <row r="56" spans="1:10" ht="15" customHeight="1" thickTop="1" thickBot="1" x14ac:dyDescent="0.25">
      <c r="A56" s="47"/>
      <c r="B56" s="48" t="s">
        <v>70</v>
      </c>
      <c r="C56" s="51">
        <f>COUNTIF(J37:J40,"1")</f>
        <v>2</v>
      </c>
      <c r="D56" s="51">
        <f>COUNTIF(J37:J40,"2")</f>
        <v>1</v>
      </c>
      <c r="E56" s="50">
        <f t="shared" si="1"/>
        <v>3</v>
      </c>
      <c r="F56" s="51">
        <v>4</v>
      </c>
      <c r="G56" s="48" t="s">
        <v>70</v>
      </c>
      <c r="H56" s="54">
        <f t="shared" si="0"/>
        <v>0.75</v>
      </c>
      <c r="I56" s="58"/>
      <c r="J56" s="58"/>
    </row>
    <row r="57" spans="1:10" ht="15" customHeight="1" thickTop="1" thickBot="1" x14ac:dyDescent="0.25">
      <c r="A57" s="47"/>
      <c r="B57" s="48" t="s">
        <v>71</v>
      </c>
      <c r="C57" s="51">
        <f>COUNTIF(J41:J45,"1")</f>
        <v>1</v>
      </c>
      <c r="D57" s="51">
        <f>COUNTIF(J41:J45,"2")</f>
        <v>3</v>
      </c>
      <c r="E57" s="50">
        <f t="shared" si="1"/>
        <v>4</v>
      </c>
      <c r="F57" s="51">
        <v>5</v>
      </c>
      <c r="G57" s="48" t="s">
        <v>71</v>
      </c>
      <c r="H57" s="54">
        <f t="shared" si="0"/>
        <v>0.8</v>
      </c>
      <c r="I57" s="58"/>
      <c r="J57" s="58"/>
    </row>
    <row r="58" spans="1:10" ht="15" customHeight="1" thickTop="1" thickBot="1" x14ac:dyDescent="0.25">
      <c r="A58" s="47"/>
      <c r="B58" s="48" t="s">
        <v>72</v>
      </c>
      <c r="C58" s="51">
        <f>COUNTIF(J46:J48,"1")</f>
        <v>2</v>
      </c>
      <c r="D58" s="51">
        <f>COUNTIF(J46:J48,"2")</f>
        <v>1</v>
      </c>
      <c r="E58" s="50">
        <f t="shared" si="1"/>
        <v>3</v>
      </c>
      <c r="F58" s="51">
        <v>3</v>
      </c>
      <c r="G58" s="48" t="s">
        <v>72</v>
      </c>
      <c r="H58" s="54">
        <f t="shared" si="0"/>
        <v>1</v>
      </c>
      <c r="I58" s="58"/>
      <c r="J58" s="58"/>
    </row>
    <row r="59" spans="1:10" ht="10.199999999999999" thickTop="1" x14ac:dyDescent="0.2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spans="1:10" ht="9" customHeight="1" x14ac:dyDescent="0.2">
      <c r="A60" s="59" t="s">
        <v>73</v>
      </c>
      <c r="B60" s="60"/>
      <c r="C60" s="60"/>
      <c r="D60" s="60"/>
      <c r="E60" s="60"/>
      <c r="F60" s="60"/>
      <c r="G60" s="60"/>
      <c r="H60" s="60"/>
      <c r="I60" s="60"/>
      <c r="J60" s="60"/>
    </row>
    <row r="61" spans="1:10" x14ac:dyDescent="0.2">
      <c r="A61" s="60"/>
      <c r="B61" s="60"/>
      <c r="C61" s="60"/>
      <c r="D61" s="60"/>
      <c r="E61" s="60"/>
      <c r="F61" s="60"/>
      <c r="G61" s="60"/>
      <c r="H61" s="60"/>
      <c r="I61" s="60"/>
      <c r="J61" s="60"/>
    </row>
    <row r="62" spans="1:10" x14ac:dyDescent="0.2">
      <c r="A62" s="60"/>
      <c r="B62" s="60"/>
      <c r="C62" s="60"/>
      <c r="D62" s="60"/>
      <c r="E62" s="60"/>
      <c r="F62" s="60"/>
      <c r="G62" s="60"/>
      <c r="H62" s="60"/>
      <c r="I62" s="60"/>
      <c r="J62" s="60"/>
    </row>
    <row r="71" spans="1:5" hidden="1" x14ac:dyDescent="0.2">
      <c r="D71" s="61"/>
    </row>
    <row r="72" spans="1:5" hidden="1" x14ac:dyDescent="0.2">
      <c r="D72" s="61"/>
    </row>
    <row r="73" spans="1:5" hidden="1" x14ac:dyDescent="0.2">
      <c r="D73" s="61"/>
    </row>
    <row r="74" spans="1:5" hidden="1" x14ac:dyDescent="0.2">
      <c r="D74" s="61"/>
    </row>
    <row r="75" spans="1:5" ht="10.8" hidden="1" x14ac:dyDescent="0.2">
      <c r="A75" s="62"/>
      <c r="B75" s="63"/>
      <c r="C75" s="63"/>
      <c r="D75" s="63"/>
      <c r="E75" s="63"/>
    </row>
    <row r="76" spans="1:5" ht="10.8" hidden="1" x14ac:dyDescent="0.2">
      <c r="A76" s="64"/>
      <c r="B76" s="63"/>
      <c r="C76" s="63"/>
      <c r="D76" s="65"/>
      <c r="E76" s="64"/>
    </row>
    <row r="77" spans="1:5" ht="10.8" hidden="1" x14ac:dyDescent="0.2">
      <c r="A77" s="64"/>
      <c r="B77" s="63"/>
      <c r="C77" s="63"/>
      <c r="D77" s="65"/>
      <c r="E77" s="64"/>
    </row>
    <row r="78" spans="1:5" ht="10.8" hidden="1" x14ac:dyDescent="0.2">
      <c r="A78" s="64"/>
      <c r="B78" s="63"/>
      <c r="C78" s="63"/>
      <c r="D78" s="65"/>
      <c r="E78" s="64"/>
    </row>
    <row r="79" spans="1:5" ht="10.8" hidden="1" x14ac:dyDescent="0.2">
      <c r="A79" s="64"/>
      <c r="B79" s="63"/>
      <c r="C79" s="63"/>
      <c r="D79" s="65"/>
      <c r="E79" s="64"/>
    </row>
    <row r="80" spans="1:5" ht="10.8" hidden="1" x14ac:dyDescent="0.2">
      <c r="A80" s="64"/>
      <c r="B80" s="63"/>
      <c r="C80" s="63"/>
      <c r="D80" s="65"/>
      <c r="E80" s="64"/>
    </row>
    <row r="81" spans="1:5" ht="10.8" hidden="1" x14ac:dyDescent="0.2">
      <c r="A81" s="64"/>
      <c r="B81" s="63"/>
      <c r="C81" s="63"/>
      <c r="D81" s="65"/>
      <c r="E81" s="64"/>
    </row>
    <row r="82" spans="1:5" ht="10.8" hidden="1" x14ac:dyDescent="0.2">
      <c r="A82" s="64"/>
      <c r="B82" s="63"/>
      <c r="C82" s="63"/>
      <c r="D82" s="66"/>
      <c r="E82" s="63"/>
    </row>
  </sheetData>
  <sheetProtection algorithmName="SHA-512" hashValue="uZhKJPCFQtlIWw9L6FjasvUkb5nQjtRpMTSKmD153/r9lAGj4O7cro0hQx3IYlcobjt/VAor33vjWZ29K8UF+w==" saltValue="bKMoDxiTBi8Ph/8ELxjEPw==" spinCount="100000" sheet="1" objects="1" scenarios="1"/>
  <mergeCells count="67">
    <mergeCell ref="C51:D51"/>
    <mergeCell ref="I56:J58"/>
    <mergeCell ref="A60:J62"/>
    <mergeCell ref="D45:I45"/>
    <mergeCell ref="A46:B48"/>
    <mergeCell ref="D46:I46"/>
    <mergeCell ref="D47:I47"/>
    <mergeCell ref="D48:I48"/>
    <mergeCell ref="A50:J50"/>
    <mergeCell ref="A37:B40"/>
    <mergeCell ref="D37:I37"/>
    <mergeCell ref="D38:I38"/>
    <mergeCell ref="D39:I39"/>
    <mergeCell ref="D40:I40"/>
    <mergeCell ref="A41:B45"/>
    <mergeCell ref="D41:I41"/>
    <mergeCell ref="D42:I42"/>
    <mergeCell ref="D43:I43"/>
    <mergeCell ref="D44:I44"/>
    <mergeCell ref="A32:B36"/>
    <mergeCell ref="D32:I32"/>
    <mergeCell ref="D33:I33"/>
    <mergeCell ref="D34:I34"/>
    <mergeCell ref="D35:I35"/>
    <mergeCell ref="D36:I36"/>
    <mergeCell ref="A26:B31"/>
    <mergeCell ref="D26:I26"/>
    <mergeCell ref="D27:I27"/>
    <mergeCell ref="D28:I28"/>
    <mergeCell ref="D29:I29"/>
    <mergeCell ref="D30:I30"/>
    <mergeCell ref="D31:I31"/>
    <mergeCell ref="D21:I21"/>
    <mergeCell ref="A22:B25"/>
    <mergeCell ref="D22:I22"/>
    <mergeCell ref="D23:I23"/>
    <mergeCell ref="D24:I24"/>
    <mergeCell ref="D25:I25"/>
    <mergeCell ref="A13:B13"/>
    <mergeCell ref="C13:I13"/>
    <mergeCell ref="A14:B21"/>
    <mergeCell ref="D14:I14"/>
    <mergeCell ref="D15:I15"/>
    <mergeCell ref="D16:I16"/>
    <mergeCell ref="D17:I17"/>
    <mergeCell ref="D18:I18"/>
    <mergeCell ref="D19:I19"/>
    <mergeCell ref="D20:I20"/>
    <mergeCell ref="A11:B11"/>
    <mergeCell ref="C11:D11"/>
    <mergeCell ref="E11:F11"/>
    <mergeCell ref="G11:H11"/>
    <mergeCell ref="I11:J11"/>
    <mergeCell ref="A12:J12"/>
    <mergeCell ref="A9:J9"/>
    <mergeCell ref="A10:B10"/>
    <mergeCell ref="C10:D10"/>
    <mergeCell ref="E10:F10"/>
    <mergeCell ref="G10:H10"/>
    <mergeCell ref="I10:J10"/>
    <mergeCell ref="A1:J1"/>
    <mergeCell ref="A2:J2"/>
    <mergeCell ref="A3:J3"/>
    <mergeCell ref="A5:F5"/>
    <mergeCell ref="H5:J5"/>
    <mergeCell ref="A6:F6"/>
    <mergeCell ref="G6:J6"/>
  </mergeCells>
  <conditionalFormatting sqref="J14:J48">
    <cfRule type="containsText" dxfId="1" priority="1" operator="containsText" text="Não">
      <formula>NOT(ISERROR(SEARCH("Não",J14)))</formula>
    </cfRule>
    <cfRule type="containsText" dxfId="0" priority="2" operator="containsText" text="Sim">
      <formula>NOT(ISERROR(SEARCH("Sim",J14)))</formula>
    </cfRule>
  </conditionalFormatting>
  <dataValidations count="1">
    <dataValidation type="list" allowBlank="1" showInputMessage="1" showErrorMessage="1" prompt="Selecione" sqref="J14:J48" xr:uid="{37E189BA-55B8-4D02-8A19-592C695A3BB4}">
      <formula1>"1,2,3,4,5"</formula1>
    </dataValidation>
  </dataValidations>
  <printOptions horizontalCentered="1"/>
  <pageMargins left="0.59055118110236227" right="0.59055118110236227" top="0.59055118110236227" bottom="0.59055118110236227" header="0.31496062992125984" footer="0.31496062992125984"/>
  <pageSetup paperSize="9" scale="89" orientation="portrait" r:id="rId1"/>
  <rowBreaks count="1" manualBreakCount="1">
    <brk id="6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HSE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Muniz</dc:creator>
  <cp:lastModifiedBy>Amanda Muniz</cp:lastModifiedBy>
  <dcterms:created xsi:type="dcterms:W3CDTF">2025-05-15T12:40:19Z</dcterms:created>
  <dcterms:modified xsi:type="dcterms:W3CDTF">2025-05-15T12:44:00Z</dcterms:modified>
</cp:coreProperties>
</file>